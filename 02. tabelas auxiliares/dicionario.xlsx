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claudio\Dropbox\03. MEMORIA PROGRAMAS\12. GITHUB\MVP_ENGENHARIA_DADOS\"/>
    </mc:Choice>
  </mc:AlternateContent>
  <xr:revisionPtr revIDLastSave="0" documentId="13_ncr:1_{9A7571A9-39DD-4D3E-B025-A20D55FC1D28}" xr6:coauthVersionLast="47" xr6:coauthVersionMax="47" xr10:uidLastSave="{00000000-0000-0000-0000-000000000000}"/>
  <bookViews>
    <workbookView xWindow="-98" yWindow="-98" windowWidth="21795" windowHeight="12975" xr2:uid="{5015345C-89E9-4264-9CD2-E6B033A50E1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</calcChain>
</file>

<file path=xl/sharedStrings.xml><?xml version="1.0" encoding="utf-8"?>
<sst xmlns="http://schemas.openxmlformats.org/spreadsheetml/2006/main" count="135" uniqueCount="75">
  <si>
    <t>PK</t>
  </si>
  <si>
    <t>NOME DA COLUNA</t>
  </si>
  <si>
    <t>DESCRIÇÃO</t>
  </si>
  <si>
    <t>DATATYPE</t>
  </si>
  <si>
    <t>VALORES POSSIVEIS</t>
  </si>
  <si>
    <t>RELACIONAMENTO</t>
  </si>
  <si>
    <t>✅</t>
  </si>
  <si>
    <t>cd_tuss_procedimento</t>
  </si>
  <si>
    <t>nm_tuss_procedimento</t>
  </si>
  <si>
    <t>codigo dos procedimentos TUSS</t>
  </si>
  <si>
    <t>descrição dos procedimentos TUSS</t>
  </si>
  <si>
    <t>string</t>
  </si>
  <si>
    <t>TAMANHO</t>
  </si>
  <si>
    <t>*os codigos estarão em uma tabela no anexo</t>
  </si>
  <si>
    <t>*as descriçõess estarão em uma tabela no anexo</t>
  </si>
  <si>
    <t>ambulatorial_geral.cd_tuss_procedimento  =  cd_tuss_procedimento_gold.cd_tuss_procedimento</t>
  </si>
  <si>
    <t>-</t>
  </si>
  <si>
    <t>Tabela: cd_tuss_procedimento_gold</t>
  </si>
  <si>
    <t>nm_tuss_grupo_procedimento</t>
  </si>
  <si>
    <t>codigo dos grupos de procedimentos TUSS</t>
  </si>
  <si>
    <t>descrição dos grupos de procedimentos TUSS</t>
  </si>
  <si>
    <t>ambulatorial_geral.cd_tuss_procedimento  =  cd_tuss_grupo_procedimento_gold.cd_tuss_procedimento</t>
  </si>
  <si>
    <t>Identificação do caráter do atendimento preenchida conforme a tabela TUSS 23 - Terminologia de caráter do atendimento.</t>
  </si>
  <si>
    <t>cd_carater_atendimento</t>
  </si>
  <si>
    <t>nm_carater_atendimento</t>
  </si>
  <si>
    <t>Descrição do caráter do atendimento preenchida conforme a tabela TUSS 23 - Terminologia de caráter do atendimento.</t>
  </si>
  <si>
    <t xml:space="preserve">1 - Eletivo
2 - Urgência/Emergência
(Vazio) = Sem informação                </t>
  </si>
  <si>
    <t>1,2,(Vazio)</t>
  </si>
  <si>
    <t>Tabela: atendimento_gold</t>
  </si>
  <si>
    <t>ambulatorial_geral.cd_carater_atendimento  =  atendimento_gold.cd_carater_atendimento
internacao_geral.cd_carater_atendimento  =  atendimento_gold.cd_carater_atendimento</t>
  </si>
  <si>
    <t>Tabela: ri_gold</t>
  </si>
  <si>
    <t>cd_regime_internacao</t>
  </si>
  <si>
    <t>nm_regime_internacao</t>
  </si>
  <si>
    <t>Identificação do regime de internação preenchida conforme a tabela TUSS 41 - Terminologia de Regime de internação.</t>
  </si>
  <si>
    <t>Descrição do regime de internação preenchida conforme a tabela TUSS 41 - Terminologia de Regime de internação.</t>
  </si>
  <si>
    <t>1,2,3,(Vazio)</t>
  </si>
  <si>
    <t xml:space="preserve">1 -HOSPITALAR
2 - HOSPITAL-DIA
3 - DOMILICIAR
(Vazio) = Sem informação                </t>
  </si>
  <si>
    <t>internacao_geral.cd_regime_internacao  =  ri_gold_gold.cd_regime_internacao</t>
  </si>
  <si>
    <t>id_evento_atencao_saude</t>
  </si>
  <si>
    <t>id_plano</t>
  </si>
  <si>
    <t>idade_beneficiario</t>
  </si>
  <si>
    <t>faixa_etaria</t>
  </si>
  <si>
    <t>sexo</t>
  </si>
  <si>
    <t>cd_municipio_beneficiario</t>
  </si>
  <si>
    <t>porte</t>
  </si>
  <si>
    <t>cd_modalidade</t>
  </si>
  <si>
    <t>nm_modalidade</t>
  </si>
  <si>
    <t>cd_municipio_prestador</t>
  </si>
  <si>
    <t>uf_prestador</t>
  </si>
  <si>
    <t>dt_realizacao</t>
  </si>
  <si>
    <t>tipo_atendimento</t>
  </si>
  <si>
    <t>cd_motivo_saida</t>
  </si>
  <si>
    <t>cbo</t>
  </si>
  <si>
    <t>tipo_consulta</t>
  </si>
  <si>
    <t>ind_acidente_doenca</t>
  </si>
  <si>
    <t>lg_valor_preestabelecido</t>
  </si>
  <si>
    <t>ano_realizacao</t>
  </si>
  <si>
    <t>cd_procedimento</t>
  </si>
  <si>
    <t>cd_tabela_referencia</t>
  </si>
  <si>
    <t>qt_procedimento</t>
  </si>
  <si>
    <t>vl_procedimento</t>
  </si>
  <si>
    <t>vl_procedimento_fornecedor</t>
  </si>
  <si>
    <t>ind_pacote</t>
  </si>
  <si>
    <t>ind_tabela_propria</t>
  </si>
  <si>
    <t>lg_outlier</t>
  </si>
  <si>
    <t>Tabela: cd_tuss_grupo_procedimento_gold</t>
  </si>
  <si>
    <t>tempo_de_permanencia</t>
  </si>
  <si>
    <t>ano_mes_evento</t>
  </si>
  <si>
    <t>cd_tipo_internacao</t>
  </si>
  <si>
    <t>cid_1</t>
  </si>
  <si>
    <t>cid_2</t>
  </si>
  <si>
    <t>cid_3</t>
  </si>
  <si>
    <t>cid_4</t>
  </si>
  <si>
    <t>qt_diaria_acompanhante</t>
  </si>
  <si>
    <t>qt_diaria_uti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</si>
</sst>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rgb="FFFBE179"/>
      <name val="Consolas"/>
      <family val="3"/>
    </font>
    <font>
      <sz val="5"/>
      <color rgb="FFD0CBEB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quotePrefix="1" applyBorder="1" applyAlignment="1">
      <alignment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9552-51D4-4B16-B60C-DA7DEEFFA972}">
  <dimension ref="C2:J20"/>
  <sheetViews>
    <sheetView tabSelected="1" workbookViewId="0">
      <selection activeCell="E19" sqref="E19:E20"/>
    </sheetView>
  </sheetViews>
  <sheetFormatPr defaultRowHeight="14.25" x14ac:dyDescent="0.45"/>
  <cols>
    <col min="4" max="4" width="5.796875" customWidth="1"/>
    <col min="5" max="5" width="26.53125" customWidth="1"/>
    <col min="6" max="6" width="21.33203125" customWidth="1"/>
    <col min="7" max="7" width="12.73046875" customWidth="1"/>
    <col min="8" max="8" width="15.06640625" customWidth="1"/>
    <col min="9" max="9" width="21.33203125" customWidth="1"/>
    <col min="10" max="10" width="28.3984375" customWidth="1"/>
  </cols>
  <sheetData>
    <row r="2" spans="4:10" x14ac:dyDescent="0.45">
      <c r="D2" s="10" t="s">
        <v>17</v>
      </c>
    </row>
    <row r="3" spans="4:10" s="3" customFormat="1" x14ac:dyDescent="0.45">
      <c r="D3" s="4" t="s">
        <v>0</v>
      </c>
      <c r="E3" s="4" t="s">
        <v>1</v>
      </c>
      <c r="F3" s="4" t="s">
        <v>2</v>
      </c>
      <c r="G3" s="4" t="s">
        <v>3</v>
      </c>
      <c r="H3" s="4" t="s">
        <v>12</v>
      </c>
      <c r="I3" s="4" t="s">
        <v>4</v>
      </c>
      <c r="J3" s="4" t="s">
        <v>5</v>
      </c>
    </row>
    <row r="4" spans="4:10" s="1" customFormat="1" ht="57" x14ac:dyDescent="0.45">
      <c r="D4" s="5" t="s">
        <v>6</v>
      </c>
      <c r="E4" s="6" t="s">
        <v>7</v>
      </c>
      <c r="F4" s="7" t="s">
        <v>9</v>
      </c>
      <c r="G4" s="6" t="s">
        <v>11</v>
      </c>
      <c r="H4" s="4">
        <v>32767</v>
      </c>
      <c r="I4" s="9" t="s">
        <v>13</v>
      </c>
      <c r="J4" s="7" t="s">
        <v>15</v>
      </c>
    </row>
    <row r="5" spans="4:10" ht="28.5" x14ac:dyDescent="0.45">
      <c r="D5" s="8"/>
      <c r="E5" s="6" t="s">
        <v>8</v>
      </c>
      <c r="F5" s="7" t="s">
        <v>10</v>
      </c>
      <c r="G5" s="6" t="s">
        <v>11</v>
      </c>
      <c r="H5" s="4">
        <v>32767</v>
      </c>
      <c r="I5" s="9" t="s">
        <v>14</v>
      </c>
      <c r="J5" s="6" t="s">
        <v>16</v>
      </c>
    </row>
    <row r="7" spans="4:10" x14ac:dyDescent="0.45">
      <c r="D7" s="10" t="s">
        <v>65</v>
      </c>
    </row>
    <row r="8" spans="4:10" x14ac:dyDescent="0.45">
      <c r="D8" s="4" t="s">
        <v>0</v>
      </c>
      <c r="E8" s="4" t="s">
        <v>1</v>
      </c>
      <c r="F8" s="4" t="s">
        <v>2</v>
      </c>
      <c r="G8" s="4" t="s">
        <v>3</v>
      </c>
      <c r="H8" s="4" t="s">
        <v>12</v>
      </c>
      <c r="I8" s="4" t="s">
        <v>4</v>
      </c>
      <c r="J8" s="4" t="s">
        <v>5</v>
      </c>
    </row>
    <row r="9" spans="4:10" ht="57" x14ac:dyDescent="0.45">
      <c r="D9" s="5" t="s">
        <v>6</v>
      </c>
      <c r="E9" s="6" t="s">
        <v>7</v>
      </c>
      <c r="F9" s="6" t="s">
        <v>19</v>
      </c>
      <c r="G9" s="6" t="s">
        <v>11</v>
      </c>
      <c r="H9" s="4">
        <v>32767</v>
      </c>
      <c r="I9" s="9" t="s">
        <v>13</v>
      </c>
      <c r="J9" s="7" t="s">
        <v>21</v>
      </c>
    </row>
    <row r="10" spans="4:10" ht="28.5" x14ac:dyDescent="0.45">
      <c r="D10" s="6"/>
      <c r="E10" s="6" t="s">
        <v>18</v>
      </c>
      <c r="F10" s="6" t="s">
        <v>20</v>
      </c>
      <c r="G10" s="6" t="s">
        <v>11</v>
      </c>
      <c r="H10" s="4">
        <v>32767</v>
      </c>
      <c r="I10" s="9" t="s">
        <v>14</v>
      </c>
      <c r="J10" s="6" t="s">
        <v>16</v>
      </c>
    </row>
    <row r="12" spans="4:10" x14ac:dyDescent="0.45">
      <c r="D12" s="10" t="s">
        <v>28</v>
      </c>
    </row>
    <row r="13" spans="4:10" x14ac:dyDescent="0.45">
      <c r="D13" s="4" t="s">
        <v>0</v>
      </c>
      <c r="E13" s="4" t="s">
        <v>1</v>
      </c>
      <c r="F13" s="4" t="s">
        <v>2</v>
      </c>
      <c r="G13" s="4" t="s">
        <v>3</v>
      </c>
      <c r="H13" s="4" t="s">
        <v>12</v>
      </c>
      <c r="I13" s="4" t="s">
        <v>4</v>
      </c>
      <c r="J13" s="4" t="s">
        <v>5</v>
      </c>
    </row>
    <row r="14" spans="4:10" ht="128.25" x14ac:dyDescent="0.45">
      <c r="D14" s="5" t="s">
        <v>6</v>
      </c>
      <c r="E14" s="7" t="s">
        <v>23</v>
      </c>
      <c r="F14" s="7" t="s">
        <v>22</v>
      </c>
      <c r="G14" s="7" t="s">
        <v>11</v>
      </c>
      <c r="H14" s="11">
        <v>40</v>
      </c>
      <c r="I14" s="9" t="s">
        <v>27</v>
      </c>
      <c r="J14" s="7" t="s">
        <v>29</v>
      </c>
    </row>
    <row r="15" spans="4:10" ht="71.25" x14ac:dyDescent="0.45">
      <c r="D15" s="8"/>
      <c r="E15" s="7" t="s">
        <v>24</v>
      </c>
      <c r="F15" s="7" t="s">
        <v>25</v>
      </c>
      <c r="G15" s="7" t="s">
        <v>11</v>
      </c>
      <c r="H15" s="11">
        <v>32767</v>
      </c>
      <c r="I15" s="9" t="s">
        <v>26</v>
      </c>
      <c r="J15" s="7" t="s">
        <v>16</v>
      </c>
    </row>
    <row r="17" spans="3:10" x14ac:dyDescent="0.45">
      <c r="D17" s="10" t="s">
        <v>30</v>
      </c>
    </row>
    <row r="18" spans="3:10" x14ac:dyDescent="0.45">
      <c r="D18" s="4" t="s">
        <v>0</v>
      </c>
      <c r="E18" s="4" t="s">
        <v>1</v>
      </c>
      <c r="F18" s="4" t="s">
        <v>2</v>
      </c>
      <c r="G18" s="4" t="s">
        <v>3</v>
      </c>
      <c r="H18" s="4" t="s">
        <v>12</v>
      </c>
      <c r="I18" s="4" t="s">
        <v>4</v>
      </c>
      <c r="J18" s="4" t="s">
        <v>5</v>
      </c>
    </row>
    <row r="19" spans="3:10" ht="71.25" x14ac:dyDescent="0.45">
      <c r="C19" s="2"/>
      <c r="D19" s="5" t="s">
        <v>6</v>
      </c>
      <c r="E19" s="7" t="s">
        <v>31</v>
      </c>
      <c r="F19" s="7" t="s">
        <v>33</v>
      </c>
      <c r="G19" s="7" t="s">
        <v>11</v>
      </c>
      <c r="H19" s="11">
        <v>40</v>
      </c>
      <c r="I19" s="9" t="s">
        <v>35</v>
      </c>
      <c r="J19" s="7" t="s">
        <v>37</v>
      </c>
    </row>
    <row r="20" spans="3:10" ht="99.75" x14ac:dyDescent="0.45">
      <c r="D20" s="8"/>
      <c r="E20" s="7" t="s">
        <v>32</v>
      </c>
      <c r="F20" s="7" t="s">
        <v>34</v>
      </c>
      <c r="G20" s="7" t="s">
        <v>11</v>
      </c>
      <c r="H20" s="11">
        <v>32767</v>
      </c>
      <c r="I20" s="9" t="s">
        <v>36</v>
      </c>
      <c r="J20" s="7" t="s">
        <v>16</v>
      </c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B09F-7D6B-43DD-96BB-E972750D4EAB}">
  <dimension ref="B5:L35"/>
  <sheetViews>
    <sheetView workbookViewId="0">
      <selection activeCell="L5" sqref="L5"/>
    </sheetView>
  </sheetViews>
  <sheetFormatPr defaultRowHeight="14.25" x14ac:dyDescent="0.45"/>
  <sheetData>
    <row r="5" spans="2:12" x14ac:dyDescent="0.45">
      <c r="B5" t="s">
        <v>38</v>
      </c>
      <c r="C5" t="str">
        <f>B5&amp;","</f>
        <v>id_evento_atencao_saude,</v>
      </c>
      <c r="F5" t="s">
        <v>38</v>
      </c>
      <c r="G5" t="str">
        <f>F5&amp;","</f>
        <v>id_evento_atencao_saude,</v>
      </c>
      <c r="L5" t="str">
        <f>_xlfn.CONCAT(C5:C35)</f>
        <v>id_evento_atencao_saude,uf_prestador,tempo_de_permanencia,ano_mes_evento,ano_realizacao,cd_tuss_procedimento,cd_tabela_referencia,qt_procedimento,vl_procedimento,vl_procedimento_fornecedor,ind_pacote,ind_tabela_propria,id_plano,faixa_etaria,sexo,cd_municipio_beneficiario,porte,cd_modalidade,nm_modalidade,cd_municipio_prestador,cd_carater_atendimento,cd_tipo_internacao,cd_regime_internacao,cd_motivo_saida,cid_1,cid_2,cid_3,cid_4,qt_diaria_acompanhante,qt_diaria_uti,lg_valor_preestabelecido,</v>
      </c>
    </row>
    <row r="6" spans="2:12" x14ac:dyDescent="0.45">
      <c r="B6" t="s">
        <v>48</v>
      </c>
      <c r="C6" t="str">
        <f t="shared" ref="C6:C35" si="0">B6&amp;","</f>
        <v>uf_prestador,</v>
      </c>
      <c r="F6" t="s">
        <v>39</v>
      </c>
      <c r="G6" t="str">
        <f t="shared" ref="G6:G32" si="1">F6&amp;","</f>
        <v>id_plano,</v>
      </c>
    </row>
    <row r="7" spans="2:12" x14ac:dyDescent="0.45">
      <c r="B7" t="s">
        <v>66</v>
      </c>
      <c r="C7" t="str">
        <f t="shared" si="0"/>
        <v>tempo_de_permanencia,</v>
      </c>
      <c r="F7" t="s">
        <v>40</v>
      </c>
      <c r="G7" t="str">
        <f t="shared" si="1"/>
        <v>idade_beneficiario,</v>
      </c>
    </row>
    <row r="8" spans="2:12" x14ac:dyDescent="0.45">
      <c r="B8" t="s">
        <v>67</v>
      </c>
      <c r="C8" t="str">
        <f t="shared" si="0"/>
        <v>ano_mes_evento,</v>
      </c>
      <c r="F8" t="s">
        <v>41</v>
      </c>
      <c r="G8" t="str">
        <f t="shared" si="1"/>
        <v>faixa_etaria,</v>
      </c>
    </row>
    <row r="9" spans="2:12" x14ac:dyDescent="0.45">
      <c r="B9" t="s">
        <v>56</v>
      </c>
      <c r="C9" t="str">
        <f t="shared" si="0"/>
        <v>ano_realizacao,</v>
      </c>
      <c r="F9" t="s">
        <v>42</v>
      </c>
      <c r="G9" t="str">
        <f t="shared" si="1"/>
        <v>sexo,</v>
      </c>
    </row>
    <row r="10" spans="2:12" x14ac:dyDescent="0.45">
      <c r="B10" t="s">
        <v>7</v>
      </c>
      <c r="C10" t="str">
        <f t="shared" si="0"/>
        <v>cd_tuss_procedimento,</v>
      </c>
      <c r="F10" t="s">
        <v>43</v>
      </c>
      <c r="G10" t="str">
        <f t="shared" si="1"/>
        <v>cd_municipio_beneficiario,</v>
      </c>
    </row>
    <row r="11" spans="2:12" x14ac:dyDescent="0.45">
      <c r="B11" t="s">
        <v>58</v>
      </c>
      <c r="C11" t="str">
        <f t="shared" si="0"/>
        <v>cd_tabela_referencia,</v>
      </c>
      <c r="F11" t="s">
        <v>44</v>
      </c>
      <c r="G11" t="str">
        <f t="shared" si="1"/>
        <v>porte,</v>
      </c>
    </row>
    <row r="12" spans="2:12" x14ac:dyDescent="0.45">
      <c r="B12" t="s">
        <v>59</v>
      </c>
      <c r="C12" t="str">
        <f t="shared" si="0"/>
        <v>qt_procedimento,</v>
      </c>
      <c r="F12" t="s">
        <v>45</v>
      </c>
      <c r="G12" t="str">
        <f t="shared" si="1"/>
        <v>cd_modalidade,</v>
      </c>
    </row>
    <row r="13" spans="2:12" x14ac:dyDescent="0.45">
      <c r="B13" t="s">
        <v>60</v>
      </c>
      <c r="C13" t="str">
        <f t="shared" si="0"/>
        <v>vl_procedimento,</v>
      </c>
      <c r="F13" t="s">
        <v>46</v>
      </c>
      <c r="G13" t="str">
        <f t="shared" si="1"/>
        <v>nm_modalidade,</v>
      </c>
    </row>
    <row r="14" spans="2:12" x14ac:dyDescent="0.45">
      <c r="B14" t="s">
        <v>61</v>
      </c>
      <c r="C14" t="str">
        <f t="shared" si="0"/>
        <v>vl_procedimento_fornecedor,</v>
      </c>
      <c r="F14" t="s">
        <v>47</v>
      </c>
      <c r="G14" t="str">
        <f t="shared" si="1"/>
        <v>cd_municipio_prestador,</v>
      </c>
    </row>
    <row r="15" spans="2:12" x14ac:dyDescent="0.45">
      <c r="B15" t="s">
        <v>62</v>
      </c>
      <c r="C15" t="str">
        <f t="shared" si="0"/>
        <v>ind_pacote,</v>
      </c>
      <c r="F15" t="s">
        <v>48</v>
      </c>
      <c r="G15" t="str">
        <f t="shared" si="1"/>
        <v>uf_prestador,</v>
      </c>
    </row>
    <row r="16" spans="2:12" x14ac:dyDescent="0.45">
      <c r="B16" t="s">
        <v>63</v>
      </c>
      <c r="C16" t="str">
        <f t="shared" si="0"/>
        <v>ind_tabela_propria,</v>
      </c>
      <c r="F16" t="s">
        <v>49</v>
      </c>
      <c r="G16" t="str">
        <f t="shared" si="1"/>
        <v>dt_realizacao,</v>
      </c>
    </row>
    <row r="17" spans="2:7" x14ac:dyDescent="0.45">
      <c r="B17" t="s">
        <v>39</v>
      </c>
      <c r="C17" t="str">
        <f t="shared" si="0"/>
        <v>id_plano,</v>
      </c>
      <c r="F17" t="s">
        <v>23</v>
      </c>
      <c r="G17" t="str">
        <f t="shared" si="1"/>
        <v>cd_carater_atendimento,</v>
      </c>
    </row>
    <row r="18" spans="2:7" x14ac:dyDescent="0.45">
      <c r="B18" t="s">
        <v>41</v>
      </c>
      <c r="C18" t="str">
        <f t="shared" si="0"/>
        <v>faixa_etaria,</v>
      </c>
      <c r="F18" t="s">
        <v>50</v>
      </c>
      <c r="G18" t="str">
        <f t="shared" si="1"/>
        <v>tipo_atendimento,</v>
      </c>
    </row>
    <row r="19" spans="2:7" x14ac:dyDescent="0.45">
      <c r="B19" t="s">
        <v>42</v>
      </c>
      <c r="C19" t="str">
        <f t="shared" si="0"/>
        <v>sexo,</v>
      </c>
      <c r="F19" t="s">
        <v>51</v>
      </c>
      <c r="G19" t="str">
        <f t="shared" si="1"/>
        <v>cd_motivo_saida,</v>
      </c>
    </row>
    <row r="20" spans="2:7" x14ac:dyDescent="0.45">
      <c r="B20" t="s">
        <v>43</v>
      </c>
      <c r="C20" t="str">
        <f t="shared" si="0"/>
        <v>cd_municipio_beneficiario,</v>
      </c>
      <c r="F20" t="s">
        <v>52</v>
      </c>
      <c r="G20" t="str">
        <f t="shared" si="1"/>
        <v>cbo,</v>
      </c>
    </row>
    <row r="21" spans="2:7" x14ac:dyDescent="0.45">
      <c r="B21" t="s">
        <v>44</v>
      </c>
      <c r="C21" t="str">
        <f t="shared" si="0"/>
        <v>porte,</v>
      </c>
      <c r="F21" t="s">
        <v>53</v>
      </c>
      <c r="G21" t="str">
        <f t="shared" si="1"/>
        <v>tipo_consulta,</v>
      </c>
    </row>
    <row r="22" spans="2:7" x14ac:dyDescent="0.45">
      <c r="B22" t="s">
        <v>45</v>
      </c>
      <c r="C22" t="str">
        <f t="shared" si="0"/>
        <v>cd_modalidade,</v>
      </c>
      <c r="F22" t="s">
        <v>54</v>
      </c>
      <c r="G22" t="str">
        <f t="shared" si="1"/>
        <v>ind_acidente_doenca,</v>
      </c>
    </row>
    <row r="23" spans="2:7" x14ac:dyDescent="0.45">
      <c r="B23" t="s">
        <v>46</v>
      </c>
      <c r="C23" t="str">
        <f t="shared" si="0"/>
        <v>nm_modalidade,</v>
      </c>
      <c r="F23" t="s">
        <v>55</v>
      </c>
      <c r="G23" t="str">
        <f t="shared" si="1"/>
        <v>lg_valor_preestabelecido,</v>
      </c>
    </row>
    <row r="24" spans="2:7" x14ac:dyDescent="0.45">
      <c r="B24" t="s">
        <v>47</v>
      </c>
      <c r="C24" t="str">
        <f t="shared" si="0"/>
        <v>cd_municipio_prestador,</v>
      </c>
      <c r="F24" t="s">
        <v>56</v>
      </c>
      <c r="G24" t="str">
        <f t="shared" si="1"/>
        <v>ano_realizacao,</v>
      </c>
    </row>
    <row r="25" spans="2:7" x14ac:dyDescent="0.45">
      <c r="B25" t="s">
        <v>23</v>
      </c>
      <c r="C25" t="str">
        <f t="shared" si="0"/>
        <v>cd_carater_atendimento,</v>
      </c>
      <c r="F25" t="s">
        <v>57</v>
      </c>
      <c r="G25" t="str">
        <f t="shared" si="1"/>
        <v>cd_procedimento,</v>
      </c>
    </row>
    <row r="26" spans="2:7" x14ac:dyDescent="0.45">
      <c r="B26" t="s">
        <v>68</v>
      </c>
      <c r="C26" t="str">
        <f t="shared" si="0"/>
        <v>cd_tipo_internacao,</v>
      </c>
      <c r="F26" t="s">
        <v>58</v>
      </c>
      <c r="G26" t="str">
        <f t="shared" si="1"/>
        <v>cd_tabela_referencia,</v>
      </c>
    </row>
    <row r="27" spans="2:7" x14ac:dyDescent="0.45">
      <c r="B27" t="s">
        <v>31</v>
      </c>
      <c r="C27" t="str">
        <f t="shared" si="0"/>
        <v>cd_regime_internacao,</v>
      </c>
      <c r="F27" t="s">
        <v>59</v>
      </c>
      <c r="G27" t="str">
        <f t="shared" si="1"/>
        <v>qt_procedimento,</v>
      </c>
    </row>
    <row r="28" spans="2:7" x14ac:dyDescent="0.45">
      <c r="B28" t="s">
        <v>51</v>
      </c>
      <c r="C28" t="str">
        <f t="shared" si="0"/>
        <v>cd_motivo_saida,</v>
      </c>
      <c r="F28" t="s">
        <v>60</v>
      </c>
      <c r="G28" t="str">
        <f t="shared" si="1"/>
        <v>vl_procedimento,</v>
      </c>
    </row>
    <row r="29" spans="2:7" x14ac:dyDescent="0.45">
      <c r="B29" t="s">
        <v>69</v>
      </c>
      <c r="C29" t="str">
        <f t="shared" si="0"/>
        <v>cid_1,</v>
      </c>
      <c r="F29" t="s">
        <v>61</v>
      </c>
      <c r="G29" t="str">
        <f t="shared" si="1"/>
        <v>vl_procedimento_fornecedor,</v>
      </c>
    </row>
    <row r="30" spans="2:7" x14ac:dyDescent="0.45">
      <c r="B30" t="s">
        <v>70</v>
      </c>
      <c r="C30" t="str">
        <f t="shared" si="0"/>
        <v>cid_2,</v>
      </c>
      <c r="F30" t="s">
        <v>62</v>
      </c>
      <c r="G30" t="str">
        <f t="shared" si="1"/>
        <v>ind_pacote,</v>
      </c>
    </row>
    <row r="31" spans="2:7" x14ac:dyDescent="0.45">
      <c r="B31" t="s">
        <v>71</v>
      </c>
      <c r="C31" t="str">
        <f t="shared" si="0"/>
        <v>cid_3,</v>
      </c>
      <c r="F31" t="s">
        <v>63</v>
      </c>
      <c r="G31" t="str">
        <f t="shared" si="1"/>
        <v>ind_tabela_propria,</v>
      </c>
    </row>
    <row r="32" spans="2:7" x14ac:dyDescent="0.45">
      <c r="B32" t="s">
        <v>72</v>
      </c>
      <c r="C32" t="str">
        <f t="shared" si="0"/>
        <v>cid_4,</v>
      </c>
      <c r="F32" t="s">
        <v>64</v>
      </c>
      <c r="G32" t="str">
        <f t="shared" si="1"/>
        <v>lg_outlier,</v>
      </c>
    </row>
    <row r="33" spans="2:3" x14ac:dyDescent="0.45">
      <c r="B33" t="s">
        <v>73</v>
      </c>
      <c r="C33" t="str">
        <f t="shared" si="0"/>
        <v>qt_diaria_acompanhante,</v>
      </c>
    </row>
    <row r="34" spans="2:3" x14ac:dyDescent="0.45">
      <c r="B34" t="s">
        <v>74</v>
      </c>
      <c r="C34" t="str">
        <f t="shared" si="0"/>
        <v>qt_diaria_uti,</v>
      </c>
    </row>
    <row r="35" spans="2:3" x14ac:dyDescent="0.45">
      <c r="B35" t="s">
        <v>55</v>
      </c>
      <c r="C35" t="str">
        <f t="shared" si="0"/>
        <v>lg_valor_preestabelecido,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Cláudio</dc:creator>
  <cp:lastModifiedBy>Luis Cláudio</cp:lastModifiedBy>
  <dcterms:created xsi:type="dcterms:W3CDTF">2025-12-20T13:55:31Z</dcterms:created>
  <dcterms:modified xsi:type="dcterms:W3CDTF">2025-12-21T22:38:44Z</dcterms:modified>
</cp:coreProperties>
</file>